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níciusdaSilvaLopes\Desktop\"/>
    </mc:Choice>
  </mc:AlternateContent>
  <xr:revisionPtr revIDLastSave="0" documentId="13_ncr:1_{4B4FF58D-7F17-4E7B-BEF3-A6C78C09FD56}" xr6:coauthVersionLast="47" xr6:coauthVersionMax="47" xr10:uidLastSave="{00000000-0000-0000-0000-000000000000}"/>
  <bookViews>
    <workbookView xWindow="-28920" yWindow="2190" windowWidth="29040" windowHeight="15720" xr2:uid="{00000000-000D-0000-FFFF-FFFF00000000}"/>
  </bookViews>
  <sheets>
    <sheet name="Dashboard" sheetId="1" r:id="rId1"/>
    <sheet name="Voluntarios" sheetId="2" r:id="rId2"/>
    <sheet name="Colheitas" sheetId="3" r:id="rId3"/>
    <sheet name="Compostage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F6" i="1"/>
  <c r="D6" i="1"/>
  <c r="B6" i="1"/>
</calcChain>
</file>

<file path=xl/sharedStrings.xml><?xml version="1.0" encoding="utf-8"?>
<sst xmlns="http://schemas.openxmlformats.org/spreadsheetml/2006/main" count="133" uniqueCount="107">
  <si>
    <t>DASHBOARD DE GESTÃO - HORTA COMUNITÁRIA GERA JUNCAL</t>
  </si>
  <si>
    <t>Eixo: Economia Sustentável &amp; Tecnologia | Indicadores Operacionais e Comunitários</t>
  </si>
  <si>
    <t>VOLUNTÁRIOS ATIVOS</t>
  </si>
  <si>
    <t>RESÍDUOS COMPOSTADOS (KG)</t>
  </si>
  <si>
    <t>COLHEITA TOTAL (KG)</t>
  </si>
  <si>
    <t>ALIMENTOS DOADOS (KG)</t>
  </si>
  <si>
    <t>🌱 Status dos Canteiros e Produção</t>
  </si>
  <si>
    <t>♻️ Impacto de Compostagem (Economia Circular)</t>
  </si>
  <si>
    <t>Canteiro</t>
  </si>
  <si>
    <t>Cultura</t>
  </si>
  <si>
    <t>Status</t>
  </si>
  <si>
    <t>Previsão Colheita</t>
  </si>
  <si>
    <t>Mês</t>
  </si>
  <si>
    <t>Orgânicos Coletados (kg)</t>
  </si>
  <si>
    <t>Adubo Gerado (kg)</t>
  </si>
  <si>
    <t>Participantes</t>
  </si>
  <si>
    <t>Canteiro 01</t>
  </si>
  <si>
    <t>Alface Crespa</t>
  </si>
  <si>
    <t>Pronto p/ Colheita</t>
  </si>
  <si>
    <t>10/09/2026</t>
  </si>
  <si>
    <t>Maio/2026</t>
  </si>
  <si>
    <t>Canteiro 02</t>
  </si>
  <si>
    <t>Cenoura</t>
  </si>
  <si>
    <t>Em Crescimento</t>
  </si>
  <si>
    <t>25/09/2026</t>
  </si>
  <si>
    <t>Junho/2026</t>
  </si>
  <si>
    <t>Canteiro 03</t>
  </si>
  <si>
    <t>Couve Manteiga</t>
  </si>
  <si>
    <t>05/09/2026</t>
  </si>
  <si>
    <t>Julho/2026</t>
  </si>
  <si>
    <t>Canteiro 04</t>
  </si>
  <si>
    <t>Tomate Cereja</t>
  </si>
  <si>
    <t>Floração</t>
  </si>
  <si>
    <t>15/10/2026</t>
  </si>
  <si>
    <t>Agosto/2026</t>
  </si>
  <si>
    <t>Canteiro 05</t>
  </si>
  <si>
    <t>Manjericão / Ervas</t>
  </si>
  <si>
    <t>12/09/2026</t>
  </si>
  <si>
    <t>CADASTRO E ESCALA DE VOLUNTÁRIOS</t>
  </si>
  <si>
    <t>ID</t>
  </si>
  <si>
    <t>Nome do Voluntário</t>
  </si>
  <si>
    <t>Função / Atividade</t>
  </si>
  <si>
    <t>Turno Pref.</t>
  </si>
  <si>
    <t>Dia da Semana</t>
  </si>
  <si>
    <t>Maria das Dores</t>
  </si>
  <si>
    <t>Rega e Limpeza</t>
  </si>
  <si>
    <t>Manhã</t>
  </si>
  <si>
    <t>Terça-feira</t>
  </si>
  <si>
    <t>Ativo</t>
  </si>
  <si>
    <t>João Pedro Silva</t>
  </si>
  <si>
    <t>Compostagem</t>
  </si>
  <si>
    <t>Tarde</t>
  </si>
  <si>
    <t>Sábado</t>
  </si>
  <si>
    <t>Ana Clara Souza</t>
  </si>
  <si>
    <t>Plantio e Manejo</t>
  </si>
  <si>
    <t>Quinta-feira</t>
  </si>
  <si>
    <t>Carlos Eduardo</t>
  </si>
  <si>
    <t>Manutenção Canteiros</t>
  </si>
  <si>
    <t>Dona Francisca</t>
  </si>
  <si>
    <t>Colheita e Triagem</t>
  </si>
  <si>
    <t>Quarta-feira</t>
  </si>
  <si>
    <t>Lucas Mendes</t>
  </si>
  <si>
    <t>Aio Tecnológico / App</t>
  </si>
  <si>
    <t>Flexível</t>
  </si>
  <si>
    <t>Domingo</t>
  </si>
  <si>
    <t>Beatriz Oliveira</t>
  </si>
  <si>
    <t>Oficinas e Recepção</t>
  </si>
  <si>
    <t>REGISTRO DE PLANTIO E COLHEITAS</t>
  </si>
  <si>
    <t>Data Colheita</t>
  </si>
  <si>
    <t>Cultura / Alimento</t>
  </si>
  <si>
    <t>Qtd Colhida (kg)</t>
  </si>
  <si>
    <t>Doado p/ Comunidade (kg)</t>
  </si>
  <si>
    <t>Vendido/Troca (kg)</t>
  </si>
  <si>
    <t>05/08/2026</t>
  </si>
  <si>
    <t>08/08/2026</t>
  </si>
  <si>
    <t>12/08/2026</t>
  </si>
  <si>
    <t>Salsa e Cebolinha</t>
  </si>
  <si>
    <t>18/08/2026</t>
  </si>
  <si>
    <t>Rabanete</t>
  </si>
  <si>
    <t>22/08/2026</t>
  </si>
  <si>
    <t>Espinafre</t>
  </si>
  <si>
    <t>28/08/2026</t>
  </si>
  <si>
    <t>Alface Americana</t>
  </si>
  <si>
    <t>REGISTRO DE COMPOSTAGEM E ECONOMIA CIRCULAR</t>
  </si>
  <si>
    <t>Data Entrega</t>
  </si>
  <si>
    <t>Morador / Família</t>
  </si>
  <si>
    <t>Tipo de Resíduo Orgânico</t>
  </si>
  <si>
    <t>Peso Entregue (kg)</t>
  </si>
  <si>
    <t>Pontos / Adubo Gerado</t>
  </si>
  <si>
    <t>02/08/2026</t>
  </si>
  <si>
    <t>Família Santos</t>
  </si>
  <si>
    <t>Cascas de frutas e legumes</t>
  </si>
  <si>
    <t>5 pts</t>
  </si>
  <si>
    <t>Dona Neusa</t>
  </si>
  <si>
    <t>Borra de café e cascas</t>
  </si>
  <si>
    <t>3 pts</t>
  </si>
  <si>
    <t>09/08/2026</t>
  </si>
  <si>
    <t>Seu Antonio</t>
  </si>
  <si>
    <t>Restos de feira local</t>
  </si>
  <si>
    <t>12 pts</t>
  </si>
  <si>
    <t>14/08/2026</t>
  </si>
  <si>
    <t>Família Lima</t>
  </si>
  <si>
    <t>Cascas de ovos e vegetais</t>
  </si>
  <si>
    <t>20/08/2026</t>
  </si>
  <si>
    <t>Mercadinho do Bairro</t>
  </si>
  <si>
    <t>Hortaliças murchas</t>
  </si>
  <si>
    <t>25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</si>
</sst>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D0E7D4"/>
      <name val="Calibri"/>
    </font>
    <font>
      <b/>
      <sz val="9"/>
      <color rgb="FF555555"/>
      <name val="Calibri"/>
    </font>
    <font>
      <b/>
      <sz val="20"/>
      <color rgb="FF1E5631"/>
      <name val="Calibri"/>
    </font>
    <font>
      <b/>
      <sz val="13"/>
      <color rgb="FF1E5631"/>
      <name val="Calibri"/>
    </font>
    <font>
      <b/>
      <sz val="11"/>
      <color rgb="FFFFFFFF"/>
      <name val="Calibri"/>
    </font>
    <font>
      <sz val="11"/>
      <color rgb="FF28282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5631"/>
        <bgColor rgb="FF1E5631"/>
      </patternFill>
    </fill>
    <fill>
      <patternFill patternType="solid">
        <fgColor rgb="FFE8F5E9"/>
        <bgColor rgb="FFE8F5E9"/>
      </patternFill>
    </fill>
    <fill>
      <patternFill patternType="solid">
        <fgColor rgb="FF4A7C59"/>
        <bgColor rgb="FF4A7C59"/>
      </patternFill>
    </fill>
    <fill>
      <patternFill patternType="solid">
        <fgColor rgb="FFF2F7F4"/>
        <bgColor rgb="FFF2F7F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4"/>
  <sheetViews>
    <sheetView tabSelected="1" workbookViewId="0">
      <selection activeCell="H18" sqref="H18"/>
    </sheetView>
  </sheetViews>
  <sheetFormatPr defaultRowHeight="14.4" x14ac:dyDescent="0.3"/>
  <cols>
    <col min="1" max="1" width="3" customWidth="1"/>
    <col min="2" max="2" width="18" customWidth="1"/>
    <col min="3" max="3" width="20" customWidth="1"/>
    <col min="4" max="4" width="22" customWidth="1"/>
    <col min="5" max="6" width="18" customWidth="1"/>
    <col min="7" max="7" width="16" customWidth="1"/>
    <col min="8" max="8" width="24" customWidth="1"/>
    <col min="9" max="9" width="18" customWidth="1"/>
    <col min="10" max="10" width="16" customWidth="1"/>
  </cols>
  <sheetData>
    <row r="2" spans="2:10" ht="25.05" customHeight="1" x14ac:dyDescent="0.3">
      <c r="B2" s="13" t="s">
        <v>0</v>
      </c>
      <c r="C2" s="10"/>
      <c r="D2" s="10"/>
      <c r="E2" s="10"/>
      <c r="F2" s="10"/>
      <c r="G2" s="10"/>
      <c r="H2" s="10"/>
      <c r="I2" s="10"/>
      <c r="J2" s="10"/>
    </row>
    <row r="3" spans="2:10" ht="18" customHeight="1" x14ac:dyDescent="0.3">
      <c r="B3" s="11" t="s">
        <v>1</v>
      </c>
      <c r="C3" s="10"/>
      <c r="D3" s="10"/>
      <c r="E3" s="10"/>
      <c r="F3" s="10"/>
      <c r="G3" s="10"/>
      <c r="H3" s="10"/>
      <c r="I3" s="10"/>
      <c r="J3" s="10"/>
    </row>
    <row r="5" spans="2:10" ht="16.05" customHeight="1" x14ac:dyDescent="0.3">
      <c r="B5" s="12" t="s">
        <v>2</v>
      </c>
      <c r="C5" s="10"/>
      <c r="D5" s="12" t="s">
        <v>3</v>
      </c>
      <c r="E5" s="10"/>
      <c r="F5" s="12" t="s">
        <v>4</v>
      </c>
      <c r="G5" s="10"/>
      <c r="H5" s="12" t="s">
        <v>5</v>
      </c>
      <c r="I5" s="10"/>
    </row>
    <row r="6" spans="2:10" ht="30" customHeight="1" x14ac:dyDescent="0.3">
      <c r="B6" s="9">
        <f>COUNTA(Voluntarios!A4:A15)</f>
        <v>7</v>
      </c>
      <c r="C6" s="10"/>
      <c r="D6" s="9">
        <f>SUM(Compostagem!D4:D15)</f>
        <v>50.5</v>
      </c>
      <c r="E6" s="10"/>
      <c r="F6" s="9">
        <f>SUM(Colheitas!D4:D15)</f>
        <v>89.5</v>
      </c>
      <c r="G6" s="10"/>
      <c r="H6" s="9">
        <f>SUM(Colheitas!E4:E15)</f>
        <v>60</v>
      </c>
      <c r="I6" s="10"/>
    </row>
    <row r="8" spans="2:10" ht="17.399999999999999" x14ac:dyDescent="0.35">
      <c r="B8" s="1" t="s">
        <v>6</v>
      </c>
      <c r="G8" s="1" t="s">
        <v>7</v>
      </c>
    </row>
    <row r="9" spans="2:10" x14ac:dyDescent="0.3">
      <c r="B9" s="2" t="s">
        <v>8</v>
      </c>
      <c r="C9" s="2" t="s">
        <v>9</v>
      </c>
      <c r="D9" s="2" t="s">
        <v>10</v>
      </c>
      <c r="E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0" spans="2:10" x14ac:dyDescent="0.3">
      <c r="B10" s="3" t="s">
        <v>16</v>
      </c>
      <c r="C10" s="3" t="s">
        <v>17</v>
      </c>
      <c r="D10" s="4" t="s">
        <v>18</v>
      </c>
      <c r="E10" s="4" t="s">
        <v>19</v>
      </c>
      <c r="G10" s="4" t="s">
        <v>20</v>
      </c>
      <c r="H10" s="5">
        <v>120</v>
      </c>
      <c r="I10" s="5">
        <v>40</v>
      </c>
      <c r="J10" s="4">
        <v>18</v>
      </c>
    </row>
    <row r="11" spans="2:10" x14ac:dyDescent="0.3">
      <c r="B11" s="6" t="s">
        <v>21</v>
      </c>
      <c r="C11" s="6" t="s">
        <v>22</v>
      </c>
      <c r="D11" s="7" t="s">
        <v>23</v>
      </c>
      <c r="E11" s="7" t="s">
        <v>24</v>
      </c>
      <c r="G11" s="7" t="s">
        <v>25</v>
      </c>
      <c r="H11" s="8">
        <v>155</v>
      </c>
      <c r="I11" s="8">
        <v>50</v>
      </c>
      <c r="J11" s="7">
        <v>24</v>
      </c>
    </row>
    <row r="12" spans="2:10" x14ac:dyDescent="0.3">
      <c r="B12" s="3" t="s">
        <v>26</v>
      </c>
      <c r="C12" s="3" t="s">
        <v>27</v>
      </c>
      <c r="D12" s="4" t="s">
        <v>18</v>
      </c>
      <c r="E12" s="4" t="s">
        <v>28</v>
      </c>
      <c r="G12" s="4" t="s">
        <v>29</v>
      </c>
      <c r="H12" s="5">
        <v>180</v>
      </c>
      <c r="I12" s="5">
        <v>60</v>
      </c>
      <c r="J12" s="4">
        <v>30</v>
      </c>
    </row>
    <row r="13" spans="2:10" x14ac:dyDescent="0.3">
      <c r="B13" s="6" t="s">
        <v>30</v>
      </c>
      <c r="C13" s="6" t="s">
        <v>31</v>
      </c>
      <c r="D13" s="7" t="s">
        <v>32</v>
      </c>
      <c r="E13" s="7" t="s">
        <v>33</v>
      </c>
      <c r="G13" s="7" t="s">
        <v>34</v>
      </c>
      <c r="H13" s="8">
        <v>210</v>
      </c>
      <c r="I13" s="8">
        <v>70</v>
      </c>
      <c r="J13" s="7">
        <v>35</v>
      </c>
    </row>
    <row r="14" spans="2:10" x14ac:dyDescent="0.3">
      <c r="B14" s="3" t="s">
        <v>35</v>
      </c>
      <c r="C14" s="3" t="s">
        <v>36</v>
      </c>
      <c r="D14" s="4" t="s">
        <v>18</v>
      </c>
      <c r="E14" s="4" t="s">
        <v>37</v>
      </c>
    </row>
  </sheetData>
  <mergeCells count="10">
    <mergeCell ref="B2:J2"/>
    <mergeCell ref="D6:E6"/>
    <mergeCell ref="B6:C6"/>
    <mergeCell ref="B3:J3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sqref="A1:F1"/>
    </sheetView>
  </sheetViews>
  <sheetFormatPr defaultRowHeight="14.4" x14ac:dyDescent="0.3"/>
  <cols>
    <col min="1" max="1" width="36" customWidth="1"/>
    <col min="2" max="2" width="22" customWidth="1"/>
    <col min="3" max="3" width="25" customWidth="1"/>
    <col min="4" max="4" width="15" customWidth="1"/>
    <col min="5" max="5" width="17" customWidth="1"/>
    <col min="6" max="6" width="12" customWidth="1"/>
  </cols>
  <sheetData>
    <row r="1" spans="1:6" ht="21" x14ac:dyDescent="0.3">
      <c r="A1" s="13" t="s">
        <v>38</v>
      </c>
      <c r="B1" s="10"/>
      <c r="C1" s="10"/>
      <c r="D1" s="10"/>
      <c r="E1" s="10"/>
      <c r="F1" s="10"/>
    </row>
    <row r="3" spans="1:6" x14ac:dyDescent="0.3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10</v>
      </c>
    </row>
    <row r="4" spans="1:6" x14ac:dyDescent="0.3">
      <c r="A4" s="4">
        <v>1</v>
      </c>
      <c r="B4" s="3" t="s">
        <v>44</v>
      </c>
      <c r="C4" s="3" t="s">
        <v>45</v>
      </c>
      <c r="D4" s="4" t="s">
        <v>46</v>
      </c>
      <c r="E4" s="4" t="s">
        <v>47</v>
      </c>
      <c r="F4" s="4" t="s">
        <v>48</v>
      </c>
    </row>
    <row r="5" spans="1:6" x14ac:dyDescent="0.3">
      <c r="A5" s="4">
        <v>2</v>
      </c>
      <c r="B5" s="3" t="s">
        <v>49</v>
      </c>
      <c r="C5" s="3" t="s">
        <v>50</v>
      </c>
      <c r="D5" s="4" t="s">
        <v>51</v>
      </c>
      <c r="E5" s="4" t="s">
        <v>52</v>
      </c>
      <c r="F5" s="4" t="s">
        <v>48</v>
      </c>
    </row>
    <row r="6" spans="1:6" x14ac:dyDescent="0.3">
      <c r="A6" s="4">
        <v>3</v>
      </c>
      <c r="B6" s="3" t="s">
        <v>53</v>
      </c>
      <c r="C6" s="3" t="s">
        <v>54</v>
      </c>
      <c r="D6" s="4" t="s">
        <v>46</v>
      </c>
      <c r="E6" s="4" t="s">
        <v>55</v>
      </c>
      <c r="F6" s="4" t="s">
        <v>48</v>
      </c>
    </row>
    <row r="7" spans="1:6" x14ac:dyDescent="0.3">
      <c r="A7" s="4">
        <v>4</v>
      </c>
      <c r="B7" s="3" t="s">
        <v>56</v>
      </c>
      <c r="C7" s="3" t="s">
        <v>57</v>
      </c>
      <c r="D7" s="4" t="s">
        <v>51</v>
      </c>
      <c r="E7" s="4" t="s">
        <v>52</v>
      </c>
      <c r="F7" s="4" t="s">
        <v>48</v>
      </c>
    </row>
    <row r="8" spans="1:6" x14ac:dyDescent="0.3">
      <c r="A8" s="4">
        <v>5</v>
      </c>
      <c r="B8" s="3" t="s">
        <v>58</v>
      </c>
      <c r="C8" s="3" t="s">
        <v>59</v>
      </c>
      <c r="D8" s="4" t="s">
        <v>46</v>
      </c>
      <c r="E8" s="4" t="s">
        <v>60</v>
      </c>
      <c r="F8" s="4" t="s">
        <v>48</v>
      </c>
    </row>
    <row r="9" spans="1:6" x14ac:dyDescent="0.3">
      <c r="A9" s="4">
        <v>6</v>
      </c>
      <c r="B9" s="3" t="s">
        <v>61</v>
      </c>
      <c r="C9" s="3" t="s">
        <v>62</v>
      </c>
      <c r="D9" s="4" t="s">
        <v>63</v>
      </c>
      <c r="E9" s="4" t="s">
        <v>64</v>
      </c>
      <c r="F9" s="4" t="s">
        <v>48</v>
      </c>
    </row>
    <row r="10" spans="1:6" x14ac:dyDescent="0.3">
      <c r="A10" s="4">
        <v>7</v>
      </c>
      <c r="B10" s="3" t="s">
        <v>65</v>
      </c>
      <c r="C10" s="3" t="s">
        <v>66</v>
      </c>
      <c r="D10" s="4" t="s">
        <v>46</v>
      </c>
      <c r="E10" s="4" t="s">
        <v>52</v>
      </c>
      <c r="F10" s="4" t="s">
        <v>48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sqref="A1:F1"/>
    </sheetView>
  </sheetViews>
  <sheetFormatPr defaultRowHeight="14.4" x14ac:dyDescent="0.3"/>
  <cols>
    <col min="1" max="1" width="35" customWidth="1"/>
    <col min="2" max="2" width="22" customWidth="1"/>
    <col min="3" max="3" width="15" customWidth="1"/>
    <col min="4" max="4" width="20" customWidth="1"/>
    <col min="5" max="5" width="28" customWidth="1"/>
    <col min="6" max="6" width="22" customWidth="1"/>
  </cols>
  <sheetData>
    <row r="1" spans="1:6" ht="21" x14ac:dyDescent="0.3">
      <c r="A1" s="13" t="s">
        <v>67</v>
      </c>
      <c r="B1" s="10"/>
      <c r="C1" s="10"/>
      <c r="D1" s="10"/>
      <c r="E1" s="10"/>
      <c r="F1" s="10"/>
    </row>
    <row r="3" spans="1:6" x14ac:dyDescent="0.3">
      <c r="A3" s="2" t="s">
        <v>68</v>
      </c>
      <c r="B3" s="2" t="s">
        <v>69</v>
      </c>
      <c r="C3" s="2" t="s">
        <v>8</v>
      </c>
      <c r="D3" s="2" t="s">
        <v>70</v>
      </c>
      <c r="E3" s="2" t="s">
        <v>71</v>
      </c>
      <c r="F3" s="2" t="s">
        <v>72</v>
      </c>
    </row>
    <row r="4" spans="1:6" x14ac:dyDescent="0.3">
      <c r="A4" s="4" t="s">
        <v>73</v>
      </c>
      <c r="B4" s="3" t="s">
        <v>17</v>
      </c>
      <c r="C4" s="4" t="s">
        <v>16</v>
      </c>
      <c r="D4" s="5">
        <v>15.5</v>
      </c>
      <c r="E4" s="5">
        <v>10</v>
      </c>
      <c r="F4" s="5">
        <v>5.5</v>
      </c>
    </row>
    <row r="5" spans="1:6" x14ac:dyDescent="0.3">
      <c r="A5" s="4" t="s">
        <v>74</v>
      </c>
      <c r="B5" s="3" t="s">
        <v>27</v>
      </c>
      <c r="C5" s="4" t="s">
        <v>26</v>
      </c>
      <c r="D5" s="5">
        <v>22</v>
      </c>
      <c r="E5" s="5">
        <v>15</v>
      </c>
      <c r="F5" s="5">
        <v>7</v>
      </c>
    </row>
    <row r="6" spans="1:6" x14ac:dyDescent="0.3">
      <c r="A6" s="4" t="s">
        <v>75</v>
      </c>
      <c r="B6" s="3" t="s">
        <v>76</v>
      </c>
      <c r="C6" s="4" t="s">
        <v>35</v>
      </c>
      <c r="D6" s="5">
        <v>8</v>
      </c>
      <c r="E6" s="5">
        <v>5</v>
      </c>
      <c r="F6" s="5">
        <v>3</v>
      </c>
    </row>
    <row r="7" spans="1:6" x14ac:dyDescent="0.3">
      <c r="A7" s="4" t="s">
        <v>77</v>
      </c>
      <c r="B7" s="3" t="s">
        <v>78</v>
      </c>
      <c r="C7" s="4" t="s">
        <v>21</v>
      </c>
      <c r="D7" s="5">
        <v>12</v>
      </c>
      <c r="E7" s="5">
        <v>8</v>
      </c>
      <c r="F7" s="5">
        <v>4</v>
      </c>
    </row>
    <row r="8" spans="1:6" x14ac:dyDescent="0.3">
      <c r="A8" s="4" t="s">
        <v>79</v>
      </c>
      <c r="B8" s="3" t="s">
        <v>80</v>
      </c>
      <c r="C8" s="4" t="s">
        <v>30</v>
      </c>
      <c r="D8" s="5">
        <v>14</v>
      </c>
      <c r="E8" s="5">
        <v>10</v>
      </c>
      <c r="F8" s="5">
        <v>4</v>
      </c>
    </row>
    <row r="9" spans="1:6" x14ac:dyDescent="0.3">
      <c r="A9" s="4" t="s">
        <v>81</v>
      </c>
      <c r="B9" s="3" t="s">
        <v>82</v>
      </c>
      <c r="C9" s="4" t="s">
        <v>16</v>
      </c>
      <c r="D9" s="5">
        <v>18</v>
      </c>
      <c r="E9" s="5">
        <v>12</v>
      </c>
      <c r="F9" s="5">
        <v>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sqref="A1:E1"/>
    </sheetView>
  </sheetViews>
  <sheetFormatPr defaultRowHeight="14.4" x14ac:dyDescent="0.3"/>
  <cols>
    <col min="1" max="1" width="47" customWidth="1"/>
    <col min="2" max="2" width="24" customWidth="1"/>
    <col min="3" max="3" width="30" customWidth="1"/>
    <col min="4" max="4" width="22" customWidth="1"/>
    <col min="5" max="5" width="25" customWidth="1"/>
  </cols>
  <sheetData>
    <row r="1" spans="1:5" ht="21" x14ac:dyDescent="0.3">
      <c r="A1" s="13" t="s">
        <v>83</v>
      </c>
      <c r="B1" s="10"/>
      <c r="C1" s="10"/>
      <c r="D1" s="10"/>
      <c r="E1" s="10"/>
    </row>
    <row r="3" spans="1:5" x14ac:dyDescent="0.3">
      <c r="A3" s="2" t="s">
        <v>84</v>
      </c>
      <c r="B3" s="2" t="s">
        <v>85</v>
      </c>
      <c r="C3" s="2" t="s">
        <v>86</v>
      </c>
      <c r="D3" s="2" t="s">
        <v>87</v>
      </c>
      <c r="E3" s="2" t="s">
        <v>88</v>
      </c>
    </row>
    <row r="4" spans="1:5" x14ac:dyDescent="0.3">
      <c r="A4" s="4" t="s">
        <v>89</v>
      </c>
      <c r="B4" s="3" t="s">
        <v>90</v>
      </c>
      <c r="C4" s="3" t="s">
        <v>91</v>
      </c>
      <c r="D4" s="5">
        <v>5.2</v>
      </c>
      <c r="E4" s="4" t="s">
        <v>92</v>
      </c>
    </row>
    <row r="5" spans="1:5" x14ac:dyDescent="0.3">
      <c r="A5" s="4" t="s">
        <v>73</v>
      </c>
      <c r="B5" s="3" t="s">
        <v>93</v>
      </c>
      <c r="C5" s="3" t="s">
        <v>94</v>
      </c>
      <c r="D5" s="5">
        <v>3</v>
      </c>
      <c r="E5" s="4" t="s">
        <v>95</v>
      </c>
    </row>
    <row r="6" spans="1:5" x14ac:dyDescent="0.3">
      <c r="A6" s="4" t="s">
        <v>96</v>
      </c>
      <c r="B6" s="3" t="s">
        <v>97</v>
      </c>
      <c r="C6" s="3" t="s">
        <v>98</v>
      </c>
      <c r="D6" s="5">
        <v>12.5</v>
      </c>
      <c r="E6" s="4" t="s">
        <v>99</v>
      </c>
    </row>
    <row r="7" spans="1:5" x14ac:dyDescent="0.3">
      <c r="A7" s="4" t="s">
        <v>100</v>
      </c>
      <c r="B7" s="3" t="s">
        <v>101</v>
      </c>
      <c r="C7" s="3" t="s">
        <v>102</v>
      </c>
      <c r="D7" s="5">
        <v>4.8</v>
      </c>
      <c r="E7" s="4" t="s">
        <v>92</v>
      </c>
    </row>
    <row r="8" spans="1:5" x14ac:dyDescent="0.3">
      <c r="A8" s="4" t="s">
        <v>103</v>
      </c>
      <c r="B8" s="3" t="s">
        <v>104</v>
      </c>
      <c r="C8" s="3" t="s">
        <v>105</v>
      </c>
      <c r="D8" s="5">
        <v>25</v>
      </c>
      <c r="E8" s="4" t="s">
        <v>106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Voluntarios</vt:lpstr>
      <vt:lpstr>Colheitas</vt:lpstr>
      <vt:lpstr>Compostagem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lopes</cp:lastModifiedBy>
  <dcterms:created xsi:type="dcterms:W3CDTF">2026-08-04T18:44:25Z</dcterms:created>
  <dcterms:modified xsi:type="dcterms:W3CDTF">2026-08-04T19:12:37Z</dcterms:modified>
</cp:coreProperties>
</file>